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Repos\azevedosgustavo\ERPMini\Initial Load\"/>
    </mc:Choice>
  </mc:AlternateContent>
  <xr:revisionPtr revIDLastSave="0" documentId="8_{99F2DCF9-748F-40ED-AB4D-146988B8BF85}" xr6:coauthVersionLast="47" xr6:coauthVersionMax="47" xr10:uidLastSave="{00000000-0000-0000-0000-000000000000}"/>
  <bookViews>
    <workbookView xWindow="28680" yWindow="-120" windowWidth="29040" windowHeight="15720" xr2:uid="{3A05F0BC-FF7A-4D6A-B36A-CC19CA0F9AAD}"/>
  </bookViews>
  <sheets>
    <sheet name="Faturamento" sheetId="1" r:id="rId1"/>
    <sheet name="Despesas" sheetId="2" r:id="rId2"/>
  </sheets>
  <definedNames>
    <definedName name="_xlnm._FilterDatabase" localSheetId="1" hidden="1">Despesas!$A$1:$F$66</definedName>
    <definedName name="_xlnm._FilterDatabase" localSheetId="0" hidden="1">Faturamento!$A$1:$N$24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" l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</calcChain>
</file>

<file path=xl/sharedStrings.xml><?xml version="1.0" encoding="utf-8"?>
<sst xmlns="http://schemas.openxmlformats.org/spreadsheetml/2006/main" count="453" uniqueCount="111">
  <si>
    <t>Competencia</t>
  </si>
  <si>
    <t>Data de Emissao</t>
  </si>
  <si>
    <t>Numero da NFS-e</t>
  </si>
  <si>
    <t>Numero da Invoice</t>
  </si>
  <si>
    <t>CNPJ Cliente</t>
  </si>
  <si>
    <t>Nome Cliente</t>
  </si>
  <si>
    <t>Codigo do Servico</t>
  </si>
  <si>
    <t>Local de Prestacao</t>
  </si>
  <si>
    <t>Natureza da Prestacao</t>
  </si>
  <si>
    <t>Descricao do Servico</t>
  </si>
  <si>
    <t>Status</t>
  </si>
  <si>
    <t>Valor</t>
  </si>
  <si>
    <t>Mercado Interno</t>
  </si>
  <si>
    <t>Mercado Externo</t>
  </si>
  <si>
    <t>GUARULHOS - SP</t>
  </si>
  <si>
    <t>Interno</t>
  </si>
  <si>
    <t>Faturado</t>
  </si>
  <si>
    <t>Exterior</t>
  </si>
  <si>
    <t>Fusion Flow Software Inc</t>
  </si>
  <si>
    <t>1.06 / 620400002</t>
  </si>
  <si>
    <t>Externo</t>
  </si>
  <si>
    <t>33.250.713/0007-58</t>
  </si>
  <si>
    <t>H. STRATTNER &amp; CIA. LTDA</t>
  </si>
  <si>
    <t>02/2025</t>
  </si>
  <si>
    <t>03/02/2025</t>
  </si>
  <si>
    <t>Serviços de assessoria hardware/software - 5hrs R$ 115.00/hr</t>
  </si>
  <si>
    <t>13/02/2025</t>
  </si>
  <si>
    <t>Chapman Rd ,250 - CEP: 99999-999 ste 208</t>
  </si>
  <si>
    <t>Consultoria TI Anexo III - Invoice 8 Serie US 05/02/2025 USD 3766,27</t>
  </si>
  <si>
    <t>03/2025</t>
  </si>
  <si>
    <t>03/03/2025</t>
  </si>
  <si>
    <t>20/03/2025</t>
  </si>
  <si>
    <t>Consultoria TI Anexo III - Invoice 9 Serie US 05/03/2025 USD 3623,19</t>
  </si>
  <si>
    <t>04/2025</t>
  </si>
  <si>
    <t>01/04/2025</t>
  </si>
  <si>
    <t>Serviços de assessoria hardware/software - 24hrs R$ 115.00/hr</t>
  </si>
  <si>
    <t>22/04/2025</t>
  </si>
  <si>
    <t>Consultoria TI Anexo III - Invoice 9 Serie US 07/04/2025 USD 3606,39</t>
  </si>
  <si>
    <t>05/2025</t>
  </si>
  <si>
    <t>01/05/2025</t>
  </si>
  <si>
    <t>Serviços de assessoria hardware/software - 72hrs R$ 115.00/hr</t>
  </si>
  <si>
    <t>06/2025</t>
  </si>
  <si>
    <t>17/06/2025</t>
  </si>
  <si>
    <t>Consultoria TI Anexo III - Invoice 12 Serie US 05/06/2025 USD 4080,41</t>
  </si>
  <si>
    <t>07/2025</t>
  </si>
  <si>
    <t>01/07/2025</t>
  </si>
  <si>
    <t>Serviços de assessoria hardware/software - 24hrs R$ 121.30/hr</t>
  </si>
  <si>
    <t>08/2025</t>
  </si>
  <si>
    <t>05/08/2025</t>
  </si>
  <si>
    <t>1.07 / 620910001</t>
  </si>
  <si>
    <t>Serviços de instalação equipamentos informática - 32hrs R$ 121.30/hr</t>
  </si>
  <si>
    <t>Cancelado</t>
  </si>
  <si>
    <t>Consultoria TI Anexo III - Invoice 13 Serie US 07/07/2025 USD 4043,38</t>
  </si>
  <si>
    <t>Serviços de instalação equipamentos informática - 35hrs R$ 121.30/hr</t>
  </si>
  <si>
    <t>27/08/2025</t>
  </si>
  <si>
    <t>Consultoria TI Anexo III - Invoice 14 Serie US 05/08/2025 USD 3957,96</t>
  </si>
  <si>
    <t>09/2025</t>
  </si>
  <si>
    <t>02/09/2025</t>
  </si>
  <si>
    <t>Serviços de instalação equipamentos informática - 50hrs R$ 121.30/hr</t>
  </si>
  <si>
    <t>10/2025</t>
  </si>
  <si>
    <t>01/10/2025</t>
  </si>
  <si>
    <t>1.07 / 951180001</t>
  </si>
  <si>
    <t>Consultoria TI Anexo III - Invoice 15 Serie US 05/09/2025 USD 3901,44</t>
  </si>
  <si>
    <t>Serviços suporte manutenção hardware/software - 5hrs R$ 121.30/hr</t>
  </si>
  <si>
    <t>20/10/2025</t>
  </si>
  <si>
    <t>Consultoria TI Anexo III - Invoice 16 Serie US 06/10/2025 USD 4104,40</t>
  </si>
  <si>
    <t>11/2025</t>
  </si>
  <si>
    <t>04/11/2025</t>
  </si>
  <si>
    <t>1.05 / 620310002</t>
  </si>
  <si>
    <t>Licenciamento programas computador não-customizáveis - 17hrs R$ 121.30/hr</t>
  </si>
  <si>
    <t>12/2025</t>
  </si>
  <si>
    <t>02/12/2025</t>
  </si>
  <si>
    <t>Serviços suporte manutenção hardware/software - 4hrs R$ 121.30/hr</t>
  </si>
  <si>
    <t>04/12/2025</t>
  </si>
  <si>
    <t>Consultoria TI Anexo III - Invoice 17 Serie US 05/11/2025 USD 3992,57</t>
  </si>
  <si>
    <t>16/12/2025</t>
  </si>
  <si>
    <t>Consultoria TI Anexo III - Invoice 18 Serie US 05/12/2025 USD 4318,84</t>
  </si>
  <si>
    <t>30/12/2025</t>
  </si>
  <si>
    <t>Chapman Rd ,254 - CEP: 99999-999 Ste 208 - Newark, DE</t>
  </si>
  <si>
    <t>Consultoria TI Anexo III - Invoice 19 Serie US 22/12/2025 USD 3221,28</t>
  </si>
  <si>
    <t>Categoria</t>
  </si>
  <si>
    <t>Data de Lançamento</t>
  </si>
  <si>
    <t>Descrição Lançamento</t>
  </si>
  <si>
    <t>MISC_EXPENSE - Despesas Diversas</t>
  </si>
  <si>
    <t>Pagamento Boleto</t>
  </si>
  <si>
    <t>Pago</t>
  </si>
  <si>
    <t>Tax - Imposto</t>
  </si>
  <si>
    <t>Saída PIX Pix enviado para RECEITA FEDERAL</t>
  </si>
  <si>
    <t>IOF - IOF</t>
  </si>
  <si>
    <t>Outros gastos IOF CHEQUE ESPECIAL</t>
  </si>
  <si>
    <t>BANK_FEE - Tarifas bancarias</t>
  </si>
  <si>
    <t>Outros gastos JUROS CHEQUE ESP</t>
  </si>
  <si>
    <t>OPERATIONG - DESPESAS OPERACIONAL</t>
  </si>
  <si>
    <t>Pagamento NOTRE DAME INTERMEDICA SAUDE S.</t>
  </si>
  <si>
    <t>Pagamento AMIL ASSISTENCIA ME</t>
  </si>
  <si>
    <t>Pagamento EVOLUCAO GESTAO EMPRESARIAL LTDA</t>
  </si>
  <si>
    <t>Pagamento TRIBUTOS FEDERAIS DARF NUMERADO</t>
  </si>
  <si>
    <t>Pagamento SIMPLES NACIONAL</t>
  </si>
  <si>
    <t>Outros gastos EMISSAO DE CDB</t>
  </si>
  <si>
    <t>Saída PIX Pix enviado para GRUPO SOLUTION</t>
  </si>
  <si>
    <t>Saída PIX Pix enviado para VINDI PAGAMENTOS ONLINE</t>
  </si>
  <si>
    <t>PROFIT_WITHDRAWAL</t>
  </si>
  <si>
    <t>Retirada de Lucro Gustavo da Silva de Azevedo</t>
  </si>
  <si>
    <t>OPERATING</t>
  </si>
  <si>
    <t>Prolabore de Gustavo da Silva de Azevedo</t>
  </si>
  <si>
    <t>SIMPLES</t>
  </si>
  <si>
    <t>Observação</t>
  </si>
  <si>
    <t>INSS</t>
  </si>
  <si>
    <t>LOCAWEB</t>
  </si>
  <si>
    <t>NOTREDAME</t>
  </si>
  <si>
    <t>EVOLUÇÃO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</si>
</sst>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4" fontId="0" fillId="0" borderId="0" xfId="0" applyNumberFormat="1"/>
    <xf numFmtId="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E9C3-4207-4C0F-A8A7-58F049C428D3}">
  <dimension ref="A1:N24"/>
  <sheetViews>
    <sheetView tabSelected="1" workbookViewId="0">
      <selection activeCell="G22" sqref="G22"/>
    </sheetView>
  </sheetViews>
  <sheetFormatPr defaultRowHeight="14.4" x14ac:dyDescent="0.3"/>
  <cols>
    <col min="1" max="1" width="12.21875" bestFit="1" customWidth="1"/>
    <col min="2" max="2" width="15.44140625" bestFit="1" customWidth="1"/>
    <col min="3" max="3" width="16.109375" bestFit="1" customWidth="1"/>
    <col min="4" max="4" width="17.33203125" bestFit="1" customWidth="1"/>
    <col min="5" max="5" width="17.6640625" bestFit="1" customWidth="1"/>
    <col min="6" max="6" width="64.44140625" bestFit="1" customWidth="1"/>
    <col min="7" max="7" width="16.21875" bestFit="1" customWidth="1"/>
    <col min="8" max="8" width="48.77734375" bestFit="1" customWidth="1"/>
    <col min="9" max="9" width="20.77734375" bestFit="1" customWidth="1"/>
    <col min="10" max="10" width="63.88671875" bestFit="1" customWidth="1"/>
    <col min="11" max="11" width="8.77734375" bestFit="1" customWidth="1"/>
    <col min="12" max="12" width="12.88671875" style="1" bestFit="1" customWidth="1"/>
    <col min="13" max="13" width="15.109375" bestFit="1" customWidth="1"/>
    <col min="14" max="14" width="16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</row>
    <row r="2" spans="1:14" x14ac:dyDescent="0.3">
      <c r="A2" t="s">
        <v>23</v>
      </c>
      <c r="B2" t="s">
        <v>24</v>
      </c>
      <c r="C2">
        <v>206</v>
      </c>
      <c r="D2">
        <v>0</v>
      </c>
      <c r="E2" t="s">
        <v>21</v>
      </c>
      <c r="F2" t="s">
        <v>22</v>
      </c>
      <c r="G2" t="s">
        <v>19</v>
      </c>
      <c r="H2" t="s">
        <v>14</v>
      </c>
      <c r="I2" t="s">
        <v>15</v>
      </c>
      <c r="J2" t="s">
        <v>25</v>
      </c>
      <c r="K2" t="s">
        <v>16</v>
      </c>
      <c r="L2" s="1">
        <v>8395</v>
      </c>
      <c r="M2">
        <f t="shared" ref="M2:M24" si="0">IF(I2="Interno",L2,0)</f>
        <v>8395</v>
      </c>
      <c r="N2">
        <f t="shared" ref="N2:N24" si="1">IF(I2="Externo",L2,0)</f>
        <v>0</v>
      </c>
    </row>
    <row r="3" spans="1:14" x14ac:dyDescent="0.3">
      <c r="A3" t="s">
        <v>23</v>
      </c>
      <c r="B3" t="s">
        <v>26</v>
      </c>
      <c r="C3">
        <v>207</v>
      </c>
      <c r="D3">
        <v>8</v>
      </c>
      <c r="E3" t="s">
        <v>17</v>
      </c>
      <c r="F3" t="s">
        <v>18</v>
      </c>
      <c r="G3" t="s">
        <v>19</v>
      </c>
      <c r="H3" t="s">
        <v>27</v>
      </c>
      <c r="I3" t="s">
        <v>20</v>
      </c>
      <c r="J3" t="s">
        <v>28</v>
      </c>
      <c r="K3" t="s">
        <v>16</v>
      </c>
      <c r="L3" s="1">
        <v>21558.59</v>
      </c>
      <c r="M3">
        <f t="shared" si="0"/>
        <v>0</v>
      </c>
      <c r="N3">
        <f t="shared" si="1"/>
        <v>21558.59</v>
      </c>
    </row>
    <row r="4" spans="1:14" x14ac:dyDescent="0.3">
      <c r="A4" t="s">
        <v>29</v>
      </c>
      <c r="B4" t="s">
        <v>30</v>
      </c>
      <c r="C4">
        <v>208</v>
      </c>
      <c r="E4" t="s">
        <v>21</v>
      </c>
      <c r="F4" t="s">
        <v>22</v>
      </c>
      <c r="G4" t="s">
        <v>19</v>
      </c>
      <c r="H4" t="s">
        <v>14</v>
      </c>
      <c r="I4" t="s">
        <v>15</v>
      </c>
      <c r="J4" t="s">
        <v>25</v>
      </c>
      <c r="K4" t="s">
        <v>16</v>
      </c>
      <c r="L4" s="1">
        <v>575</v>
      </c>
      <c r="M4">
        <f t="shared" si="0"/>
        <v>575</v>
      </c>
      <c r="N4">
        <f t="shared" si="1"/>
        <v>0</v>
      </c>
    </row>
    <row r="5" spans="1:14" x14ac:dyDescent="0.3">
      <c r="A5" t="s">
        <v>29</v>
      </c>
      <c r="B5" t="s">
        <v>31</v>
      </c>
      <c r="C5">
        <v>209</v>
      </c>
      <c r="D5">
        <v>9</v>
      </c>
      <c r="E5" t="s">
        <v>17</v>
      </c>
      <c r="F5" t="s">
        <v>18</v>
      </c>
      <c r="G5" t="s">
        <v>19</v>
      </c>
      <c r="H5" t="s">
        <v>27</v>
      </c>
      <c r="I5" t="s">
        <v>20</v>
      </c>
      <c r="J5" t="s">
        <v>32</v>
      </c>
      <c r="K5" t="s">
        <v>16</v>
      </c>
      <c r="L5" s="1">
        <v>20369.18</v>
      </c>
      <c r="M5">
        <f t="shared" si="0"/>
        <v>0</v>
      </c>
      <c r="N5">
        <f t="shared" si="1"/>
        <v>20369.18</v>
      </c>
    </row>
    <row r="6" spans="1:14" x14ac:dyDescent="0.3">
      <c r="A6" t="s">
        <v>33</v>
      </c>
      <c r="B6" t="s">
        <v>34</v>
      </c>
      <c r="C6">
        <v>210</v>
      </c>
      <c r="E6" t="s">
        <v>21</v>
      </c>
      <c r="F6" t="s">
        <v>22</v>
      </c>
      <c r="G6" t="s">
        <v>19</v>
      </c>
      <c r="H6" t="s">
        <v>14</v>
      </c>
      <c r="I6" t="s">
        <v>15</v>
      </c>
      <c r="J6" t="s">
        <v>35</v>
      </c>
      <c r="K6" t="s">
        <v>16</v>
      </c>
      <c r="L6" s="1">
        <v>2760</v>
      </c>
      <c r="M6">
        <f t="shared" si="0"/>
        <v>2760</v>
      </c>
      <c r="N6">
        <f t="shared" si="1"/>
        <v>0</v>
      </c>
    </row>
    <row r="7" spans="1:14" x14ac:dyDescent="0.3">
      <c r="A7" t="s">
        <v>33</v>
      </c>
      <c r="B7" t="s">
        <v>36</v>
      </c>
      <c r="C7">
        <v>211</v>
      </c>
      <c r="D7">
        <v>9</v>
      </c>
      <c r="E7" t="s">
        <v>17</v>
      </c>
      <c r="F7" t="s">
        <v>18</v>
      </c>
      <c r="G7" t="s">
        <v>19</v>
      </c>
      <c r="H7" t="s">
        <v>27</v>
      </c>
      <c r="I7" t="s">
        <v>20</v>
      </c>
      <c r="J7" t="s">
        <v>37</v>
      </c>
      <c r="K7" t="s">
        <v>16</v>
      </c>
      <c r="L7" s="1">
        <v>20934.509999999998</v>
      </c>
      <c r="M7">
        <f t="shared" si="0"/>
        <v>0</v>
      </c>
      <c r="N7">
        <f t="shared" si="1"/>
        <v>20934.509999999998</v>
      </c>
    </row>
    <row r="8" spans="1:14" x14ac:dyDescent="0.3">
      <c r="A8" t="s">
        <v>38</v>
      </c>
      <c r="B8" t="s">
        <v>39</v>
      </c>
      <c r="C8">
        <v>212</v>
      </c>
      <c r="E8" t="s">
        <v>21</v>
      </c>
      <c r="F8" t="s">
        <v>22</v>
      </c>
      <c r="G8" t="s">
        <v>19</v>
      </c>
      <c r="H8" t="s">
        <v>14</v>
      </c>
      <c r="I8" t="s">
        <v>15</v>
      </c>
      <c r="J8" t="s">
        <v>40</v>
      </c>
      <c r="K8" t="s">
        <v>16</v>
      </c>
      <c r="L8" s="1">
        <v>8280</v>
      </c>
      <c r="M8">
        <f t="shared" si="0"/>
        <v>8280</v>
      </c>
      <c r="N8">
        <f t="shared" si="1"/>
        <v>0</v>
      </c>
    </row>
    <row r="9" spans="1:14" x14ac:dyDescent="0.3">
      <c r="A9" t="s">
        <v>41</v>
      </c>
      <c r="B9" t="s">
        <v>42</v>
      </c>
      <c r="C9">
        <v>214</v>
      </c>
      <c r="D9">
        <v>12</v>
      </c>
      <c r="E9" t="s">
        <v>17</v>
      </c>
      <c r="F9" t="s">
        <v>18</v>
      </c>
      <c r="G9" t="s">
        <v>19</v>
      </c>
      <c r="H9" t="s">
        <v>27</v>
      </c>
      <c r="I9" t="s">
        <v>20</v>
      </c>
      <c r="J9" t="s">
        <v>43</v>
      </c>
      <c r="K9" t="s">
        <v>16</v>
      </c>
      <c r="L9" s="1">
        <v>22557.67</v>
      </c>
      <c r="M9">
        <f t="shared" si="0"/>
        <v>0</v>
      </c>
      <c r="N9">
        <f t="shared" si="1"/>
        <v>22557.67</v>
      </c>
    </row>
    <row r="10" spans="1:14" x14ac:dyDescent="0.3">
      <c r="A10" t="s">
        <v>44</v>
      </c>
      <c r="B10" t="s">
        <v>45</v>
      </c>
      <c r="C10">
        <v>215</v>
      </c>
      <c r="E10" t="s">
        <v>21</v>
      </c>
      <c r="F10" t="s">
        <v>22</v>
      </c>
      <c r="G10" t="s">
        <v>19</v>
      </c>
      <c r="H10" t="s">
        <v>14</v>
      </c>
      <c r="I10" t="s">
        <v>15</v>
      </c>
      <c r="J10" t="s">
        <v>46</v>
      </c>
      <c r="K10" t="s">
        <v>16</v>
      </c>
      <c r="L10" s="1">
        <v>2911.2</v>
      </c>
      <c r="M10">
        <f t="shared" si="0"/>
        <v>2911.2</v>
      </c>
      <c r="N10">
        <f t="shared" si="1"/>
        <v>0</v>
      </c>
    </row>
    <row r="11" spans="1:14" x14ac:dyDescent="0.3">
      <c r="A11" t="s">
        <v>47</v>
      </c>
      <c r="B11" t="s">
        <v>48</v>
      </c>
      <c r="C11">
        <v>216</v>
      </c>
      <c r="E11" t="s">
        <v>21</v>
      </c>
      <c r="F11" t="s">
        <v>22</v>
      </c>
      <c r="G11" t="s">
        <v>49</v>
      </c>
      <c r="H11" t="s">
        <v>14</v>
      </c>
      <c r="I11" t="s">
        <v>15</v>
      </c>
      <c r="J11" t="s">
        <v>50</v>
      </c>
      <c r="K11" t="s">
        <v>51</v>
      </c>
      <c r="L11" s="1">
        <v>3881.6</v>
      </c>
      <c r="M11">
        <f t="shared" si="0"/>
        <v>3881.6</v>
      </c>
      <c r="N11">
        <f t="shared" si="1"/>
        <v>0</v>
      </c>
    </row>
    <row r="12" spans="1:14" x14ac:dyDescent="0.3">
      <c r="A12" t="s">
        <v>47</v>
      </c>
      <c r="B12" t="s">
        <v>48</v>
      </c>
      <c r="C12">
        <v>217</v>
      </c>
      <c r="D12">
        <v>13</v>
      </c>
      <c r="E12" t="s">
        <v>17</v>
      </c>
      <c r="F12" t="s">
        <v>18</v>
      </c>
      <c r="G12" t="s">
        <v>49</v>
      </c>
      <c r="H12" t="s">
        <v>27</v>
      </c>
      <c r="I12" t="s">
        <v>20</v>
      </c>
      <c r="J12" t="s">
        <v>52</v>
      </c>
      <c r="K12" t="s">
        <v>16</v>
      </c>
      <c r="L12" s="1">
        <v>22261.94</v>
      </c>
      <c r="M12">
        <f t="shared" si="0"/>
        <v>0</v>
      </c>
      <c r="N12">
        <f t="shared" si="1"/>
        <v>22261.94</v>
      </c>
    </row>
    <row r="13" spans="1:14" x14ac:dyDescent="0.3">
      <c r="A13" t="s">
        <v>47</v>
      </c>
      <c r="B13" t="s">
        <v>48</v>
      </c>
      <c r="C13">
        <v>218</v>
      </c>
      <c r="E13" t="s">
        <v>21</v>
      </c>
      <c r="F13" t="s">
        <v>22</v>
      </c>
      <c r="G13" t="s">
        <v>49</v>
      </c>
      <c r="H13" t="s">
        <v>14</v>
      </c>
      <c r="I13" t="s">
        <v>15</v>
      </c>
      <c r="J13" t="s">
        <v>53</v>
      </c>
      <c r="K13" t="s">
        <v>16</v>
      </c>
      <c r="L13" s="1">
        <v>4245.5</v>
      </c>
      <c r="M13">
        <f t="shared" si="0"/>
        <v>4245.5</v>
      </c>
      <c r="N13">
        <f t="shared" si="1"/>
        <v>0</v>
      </c>
    </row>
    <row r="14" spans="1:14" x14ac:dyDescent="0.3">
      <c r="A14" t="s">
        <v>47</v>
      </c>
      <c r="B14" t="s">
        <v>54</v>
      </c>
      <c r="C14">
        <v>219</v>
      </c>
      <c r="D14">
        <v>14</v>
      </c>
      <c r="E14" t="s">
        <v>17</v>
      </c>
      <c r="F14" t="s">
        <v>18</v>
      </c>
      <c r="G14" t="s">
        <v>49</v>
      </c>
      <c r="H14" t="s">
        <v>27</v>
      </c>
      <c r="I14" t="s">
        <v>20</v>
      </c>
      <c r="J14" t="s">
        <v>55</v>
      </c>
      <c r="K14" t="s">
        <v>16</v>
      </c>
      <c r="L14" s="1">
        <v>21175.86</v>
      </c>
      <c r="M14">
        <f t="shared" si="0"/>
        <v>0</v>
      </c>
      <c r="N14">
        <f t="shared" si="1"/>
        <v>21175.86</v>
      </c>
    </row>
    <row r="15" spans="1:14" x14ac:dyDescent="0.3">
      <c r="A15" t="s">
        <v>56</v>
      </c>
      <c r="B15" t="s">
        <v>57</v>
      </c>
      <c r="C15">
        <v>220</v>
      </c>
      <c r="E15" t="s">
        <v>21</v>
      </c>
      <c r="F15" t="s">
        <v>22</v>
      </c>
      <c r="G15" t="s">
        <v>49</v>
      </c>
      <c r="H15" t="s">
        <v>14</v>
      </c>
      <c r="I15" t="s">
        <v>15</v>
      </c>
      <c r="J15" t="s">
        <v>58</v>
      </c>
      <c r="K15" t="s">
        <v>16</v>
      </c>
      <c r="L15" s="1">
        <v>6065</v>
      </c>
      <c r="M15">
        <f t="shared" si="0"/>
        <v>6065</v>
      </c>
      <c r="N15">
        <f t="shared" si="1"/>
        <v>0</v>
      </c>
    </row>
    <row r="16" spans="1:14" x14ac:dyDescent="0.3">
      <c r="A16" t="s">
        <v>59</v>
      </c>
      <c r="B16" t="s">
        <v>60</v>
      </c>
      <c r="C16">
        <v>221</v>
      </c>
      <c r="D16">
        <v>15</v>
      </c>
      <c r="E16" t="s">
        <v>17</v>
      </c>
      <c r="F16" t="s">
        <v>18</v>
      </c>
      <c r="G16" t="s">
        <v>61</v>
      </c>
      <c r="H16" t="s">
        <v>27</v>
      </c>
      <c r="I16" t="s">
        <v>20</v>
      </c>
      <c r="J16" t="s">
        <v>62</v>
      </c>
      <c r="K16" t="s">
        <v>16</v>
      </c>
      <c r="L16" s="1">
        <v>20989.74</v>
      </c>
      <c r="M16">
        <f t="shared" si="0"/>
        <v>0</v>
      </c>
      <c r="N16">
        <f t="shared" si="1"/>
        <v>20989.74</v>
      </c>
    </row>
    <row r="17" spans="1:14" x14ac:dyDescent="0.3">
      <c r="A17" t="s">
        <v>59</v>
      </c>
      <c r="B17" t="s">
        <v>60</v>
      </c>
      <c r="C17">
        <v>222</v>
      </c>
      <c r="E17" t="s">
        <v>21</v>
      </c>
      <c r="F17" t="s">
        <v>22</v>
      </c>
      <c r="G17" t="s">
        <v>61</v>
      </c>
      <c r="H17" t="s">
        <v>14</v>
      </c>
      <c r="I17" t="s">
        <v>15</v>
      </c>
      <c r="J17" t="s">
        <v>63</v>
      </c>
      <c r="K17" t="s">
        <v>16</v>
      </c>
      <c r="L17" s="1">
        <v>606.5</v>
      </c>
      <c r="M17">
        <f t="shared" si="0"/>
        <v>606.5</v>
      </c>
      <c r="N17">
        <f t="shared" si="1"/>
        <v>0</v>
      </c>
    </row>
    <row r="18" spans="1:14" x14ac:dyDescent="0.3">
      <c r="A18" t="s">
        <v>59</v>
      </c>
      <c r="B18" t="s">
        <v>64</v>
      </c>
      <c r="C18">
        <v>223</v>
      </c>
      <c r="D18">
        <v>16</v>
      </c>
      <c r="E18" t="s">
        <v>17</v>
      </c>
      <c r="F18" t="s">
        <v>18</v>
      </c>
      <c r="G18" t="s">
        <v>61</v>
      </c>
      <c r="H18" t="s">
        <v>27</v>
      </c>
      <c r="I18" t="s">
        <v>20</v>
      </c>
      <c r="J18" t="s">
        <v>65</v>
      </c>
      <c r="K18" t="s">
        <v>16</v>
      </c>
      <c r="L18" s="1">
        <v>21794.37</v>
      </c>
      <c r="M18">
        <f t="shared" si="0"/>
        <v>0</v>
      </c>
      <c r="N18">
        <f t="shared" si="1"/>
        <v>21794.37</v>
      </c>
    </row>
    <row r="19" spans="1:14" x14ac:dyDescent="0.3">
      <c r="A19" t="s">
        <v>66</v>
      </c>
      <c r="B19" t="s">
        <v>67</v>
      </c>
      <c r="C19">
        <v>224</v>
      </c>
      <c r="E19" t="s">
        <v>21</v>
      </c>
      <c r="F19" t="s">
        <v>22</v>
      </c>
      <c r="G19" t="s">
        <v>68</v>
      </c>
      <c r="H19" t="s">
        <v>14</v>
      </c>
      <c r="I19" t="s">
        <v>15</v>
      </c>
      <c r="J19" t="s">
        <v>69</v>
      </c>
      <c r="K19" t="s">
        <v>16</v>
      </c>
      <c r="L19" s="1">
        <v>2062.1</v>
      </c>
      <c r="M19">
        <f t="shared" si="0"/>
        <v>2062.1</v>
      </c>
      <c r="N19">
        <f t="shared" si="1"/>
        <v>0</v>
      </c>
    </row>
    <row r="20" spans="1:14" x14ac:dyDescent="0.3">
      <c r="A20" t="s">
        <v>70</v>
      </c>
      <c r="B20" t="s">
        <v>71</v>
      </c>
      <c r="C20">
        <v>225</v>
      </c>
      <c r="E20" t="s">
        <v>21</v>
      </c>
      <c r="F20" t="s">
        <v>22</v>
      </c>
      <c r="G20" t="s">
        <v>61</v>
      </c>
      <c r="H20" t="s">
        <v>14</v>
      </c>
      <c r="I20" t="s">
        <v>15</v>
      </c>
      <c r="J20" t="s">
        <v>72</v>
      </c>
      <c r="K20" t="s">
        <v>16</v>
      </c>
      <c r="L20" s="1">
        <v>485.2</v>
      </c>
      <c r="M20">
        <f t="shared" si="0"/>
        <v>485.2</v>
      </c>
      <c r="N20">
        <f t="shared" si="1"/>
        <v>0</v>
      </c>
    </row>
    <row r="21" spans="1:14" x14ac:dyDescent="0.3">
      <c r="A21" t="s">
        <v>70</v>
      </c>
      <c r="B21" t="s">
        <v>73</v>
      </c>
      <c r="C21">
        <v>226</v>
      </c>
      <c r="D21">
        <v>17</v>
      </c>
      <c r="E21" t="s">
        <v>17</v>
      </c>
      <c r="F21" t="s">
        <v>18</v>
      </c>
      <c r="G21" t="s">
        <v>61</v>
      </c>
      <c r="H21" t="s">
        <v>27</v>
      </c>
      <c r="I21" t="s">
        <v>20</v>
      </c>
      <c r="J21" t="s">
        <v>74</v>
      </c>
      <c r="K21" t="s">
        <v>16</v>
      </c>
      <c r="L21" s="1">
        <v>21000</v>
      </c>
      <c r="M21">
        <f t="shared" si="0"/>
        <v>0</v>
      </c>
      <c r="N21">
        <f t="shared" si="1"/>
        <v>21000</v>
      </c>
    </row>
    <row r="22" spans="1:14" x14ac:dyDescent="0.3">
      <c r="A22" t="s">
        <v>70</v>
      </c>
      <c r="B22" t="s">
        <v>75</v>
      </c>
      <c r="C22">
        <v>227</v>
      </c>
      <c r="D22">
        <v>18</v>
      </c>
      <c r="E22" t="s">
        <v>17</v>
      </c>
      <c r="F22" t="s">
        <v>18</v>
      </c>
      <c r="G22" t="s">
        <v>61</v>
      </c>
      <c r="H22" t="s">
        <v>27</v>
      </c>
      <c r="I22" t="s">
        <v>20</v>
      </c>
      <c r="J22" t="s">
        <v>76</v>
      </c>
      <c r="K22" t="s">
        <v>16</v>
      </c>
      <c r="L22" s="1">
        <v>22889.85</v>
      </c>
      <c r="M22">
        <f t="shared" si="0"/>
        <v>0</v>
      </c>
      <c r="N22">
        <f t="shared" si="1"/>
        <v>22889.85</v>
      </c>
    </row>
    <row r="23" spans="1:14" x14ac:dyDescent="0.3">
      <c r="A23" t="s">
        <v>70</v>
      </c>
      <c r="B23" t="s">
        <v>77</v>
      </c>
      <c r="C23">
        <v>228</v>
      </c>
      <c r="D23">
        <v>19</v>
      </c>
      <c r="E23" t="s">
        <v>17</v>
      </c>
      <c r="F23" t="s">
        <v>18</v>
      </c>
      <c r="G23" t="s">
        <v>61</v>
      </c>
      <c r="H23" t="s">
        <v>78</v>
      </c>
      <c r="I23" t="s">
        <v>20</v>
      </c>
      <c r="J23" t="s">
        <v>79</v>
      </c>
      <c r="K23" t="s">
        <v>16</v>
      </c>
      <c r="L23" s="1">
        <v>17782.59</v>
      </c>
      <c r="M23">
        <f t="shared" si="0"/>
        <v>0</v>
      </c>
      <c r="N23">
        <f t="shared" si="1"/>
        <v>17782.59</v>
      </c>
    </row>
    <row r="24" spans="1:14" x14ac:dyDescent="0.3">
      <c r="A24" t="s">
        <v>41</v>
      </c>
      <c r="B24" t="s">
        <v>42</v>
      </c>
      <c r="C24">
        <v>213</v>
      </c>
      <c r="D24">
        <v>11</v>
      </c>
      <c r="E24" t="s">
        <v>17</v>
      </c>
      <c r="F24" t="s">
        <v>18</v>
      </c>
      <c r="G24" t="s">
        <v>19</v>
      </c>
      <c r="H24" t="s">
        <v>27</v>
      </c>
      <c r="I24" t="s">
        <v>20</v>
      </c>
      <c r="J24" t="s">
        <v>43</v>
      </c>
      <c r="K24" t="s">
        <v>16</v>
      </c>
      <c r="L24" s="1">
        <v>20736.72</v>
      </c>
      <c r="M24">
        <f t="shared" si="0"/>
        <v>0</v>
      </c>
      <c r="N24">
        <f t="shared" si="1"/>
        <v>20736.72</v>
      </c>
    </row>
  </sheetData>
  <autoFilter ref="A1:N24" xr:uid="{DF1EE9C3-4207-4C0F-A8A7-58F049C428D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E321-50A3-412F-9218-9360D8F0419A}">
  <dimension ref="A1:F66"/>
  <sheetViews>
    <sheetView workbookViewId="0">
      <selection activeCell="F67" sqref="A1:F67"/>
    </sheetView>
  </sheetViews>
  <sheetFormatPr defaultRowHeight="14.4" x14ac:dyDescent="0.3"/>
  <cols>
    <col min="1" max="1" width="35.44140625" bestFit="1" customWidth="1"/>
    <col min="2" max="2" width="18.77734375" bestFit="1" customWidth="1"/>
    <col min="3" max="3" width="49.44140625" bestFit="1" customWidth="1"/>
    <col min="4" max="4" width="10.109375" bestFit="1" customWidth="1"/>
    <col min="5" max="5" width="6.21875" bestFit="1" customWidth="1"/>
    <col min="6" max="6" width="11.21875" bestFit="1" customWidth="1"/>
  </cols>
  <sheetData>
    <row r="1" spans="1:6" x14ac:dyDescent="0.3">
      <c r="A1" t="s">
        <v>80</v>
      </c>
      <c r="B1" t="s">
        <v>81</v>
      </c>
      <c r="C1" t="s">
        <v>82</v>
      </c>
      <c r="D1" t="s">
        <v>11</v>
      </c>
      <c r="E1" t="s">
        <v>10</v>
      </c>
      <c r="F1" t="s">
        <v>106</v>
      </c>
    </row>
    <row r="2" spans="1:6" x14ac:dyDescent="0.3">
      <c r="A2" t="s">
        <v>83</v>
      </c>
      <c r="B2" s="2">
        <v>45672</v>
      </c>
      <c r="C2" t="s">
        <v>84</v>
      </c>
      <c r="D2">
        <v>-195.7</v>
      </c>
      <c r="E2" t="s">
        <v>85</v>
      </c>
      <c r="F2" t="s">
        <v>110</v>
      </c>
    </row>
    <row r="3" spans="1:6" x14ac:dyDescent="0.3">
      <c r="A3" t="s">
        <v>83</v>
      </c>
      <c r="B3" s="2">
        <v>45674</v>
      </c>
      <c r="C3" t="s">
        <v>84</v>
      </c>
      <c r="D3">
        <v>-58.52</v>
      </c>
      <c r="E3" t="s">
        <v>85</v>
      </c>
    </row>
    <row r="4" spans="1:6" x14ac:dyDescent="0.3">
      <c r="A4" t="s">
        <v>83</v>
      </c>
      <c r="B4" s="2">
        <v>45674</v>
      </c>
      <c r="C4" t="s">
        <v>84</v>
      </c>
      <c r="D4" s="3">
        <v>-1811.43</v>
      </c>
      <c r="E4" t="s">
        <v>85</v>
      </c>
      <c r="F4" t="s">
        <v>109</v>
      </c>
    </row>
    <row r="5" spans="1:6" x14ac:dyDescent="0.3">
      <c r="A5" t="s">
        <v>86</v>
      </c>
      <c r="B5" s="2">
        <v>45679</v>
      </c>
      <c r="C5" t="s">
        <v>87</v>
      </c>
      <c r="D5" s="3">
        <v>-3349.08</v>
      </c>
      <c r="E5" t="s">
        <v>85</v>
      </c>
      <c r="F5" t="s">
        <v>105</v>
      </c>
    </row>
    <row r="6" spans="1:6" x14ac:dyDescent="0.3">
      <c r="A6" t="s">
        <v>86</v>
      </c>
      <c r="B6" s="2">
        <v>45701</v>
      </c>
      <c r="C6" t="s">
        <v>87</v>
      </c>
      <c r="D6" s="3">
        <v>-4214.63</v>
      </c>
      <c r="E6" t="s">
        <v>85</v>
      </c>
      <c r="F6" t="s">
        <v>105</v>
      </c>
    </row>
    <row r="7" spans="1:6" x14ac:dyDescent="0.3">
      <c r="A7" t="s">
        <v>83</v>
      </c>
      <c r="B7" s="2">
        <v>45705</v>
      </c>
      <c r="C7" t="s">
        <v>84</v>
      </c>
      <c r="D7">
        <v>-195.7</v>
      </c>
      <c r="E7" t="s">
        <v>85</v>
      </c>
      <c r="F7" t="s">
        <v>110</v>
      </c>
    </row>
    <row r="8" spans="1:6" x14ac:dyDescent="0.3">
      <c r="A8" t="s">
        <v>83</v>
      </c>
      <c r="B8" s="2">
        <v>45705</v>
      </c>
      <c r="C8" t="s">
        <v>84</v>
      </c>
      <c r="D8">
        <v>-39.020000000000003</v>
      </c>
      <c r="E8" t="s">
        <v>85</v>
      </c>
    </row>
    <row r="9" spans="1:6" x14ac:dyDescent="0.3">
      <c r="A9" t="s">
        <v>83</v>
      </c>
      <c r="B9" s="2">
        <v>45705</v>
      </c>
      <c r="C9" t="s">
        <v>84</v>
      </c>
      <c r="D9" s="3">
        <v>-1811.43</v>
      </c>
      <c r="E9" t="s">
        <v>85</v>
      </c>
      <c r="F9" t="s">
        <v>109</v>
      </c>
    </row>
    <row r="10" spans="1:6" x14ac:dyDescent="0.3">
      <c r="A10" t="s">
        <v>83</v>
      </c>
      <c r="B10" s="2">
        <v>45731</v>
      </c>
      <c r="C10" t="s">
        <v>84</v>
      </c>
      <c r="D10">
        <v>-205.15</v>
      </c>
      <c r="E10" t="s">
        <v>85</v>
      </c>
      <c r="F10" t="s">
        <v>110</v>
      </c>
    </row>
    <row r="11" spans="1:6" x14ac:dyDescent="0.3">
      <c r="A11" t="s">
        <v>83</v>
      </c>
      <c r="B11" s="2">
        <v>45733</v>
      </c>
      <c r="C11" t="s">
        <v>84</v>
      </c>
      <c r="D11" s="3">
        <v>-1811.43</v>
      </c>
      <c r="E11" t="s">
        <v>85</v>
      </c>
      <c r="F11" t="s">
        <v>109</v>
      </c>
    </row>
    <row r="12" spans="1:6" x14ac:dyDescent="0.3">
      <c r="A12" t="s">
        <v>86</v>
      </c>
      <c r="B12" s="2">
        <v>45736</v>
      </c>
      <c r="C12" t="s">
        <v>87</v>
      </c>
      <c r="D12" s="3">
        <v>-2224.84</v>
      </c>
      <c r="E12" t="s">
        <v>85</v>
      </c>
      <c r="F12" t="s">
        <v>105</v>
      </c>
    </row>
    <row r="13" spans="1:6" x14ac:dyDescent="0.3">
      <c r="A13" t="s">
        <v>88</v>
      </c>
      <c r="B13" s="2">
        <v>45748</v>
      </c>
      <c r="C13" t="s">
        <v>89</v>
      </c>
      <c r="D13">
        <v>-7.28</v>
      </c>
      <c r="E13" t="s">
        <v>85</v>
      </c>
    </row>
    <row r="14" spans="1:6" x14ac:dyDescent="0.3">
      <c r="A14" t="s">
        <v>90</v>
      </c>
      <c r="B14" s="2">
        <v>45749</v>
      </c>
      <c r="C14" t="s">
        <v>91</v>
      </c>
      <c r="D14">
        <v>-21.37</v>
      </c>
      <c r="E14" t="s">
        <v>85</v>
      </c>
    </row>
    <row r="15" spans="1:6" x14ac:dyDescent="0.3">
      <c r="A15" t="s">
        <v>83</v>
      </c>
      <c r="B15" s="2">
        <v>45762</v>
      </c>
      <c r="C15" t="s">
        <v>84</v>
      </c>
      <c r="D15">
        <v>-205.15</v>
      </c>
      <c r="E15" t="s">
        <v>85</v>
      </c>
      <c r="F15" t="s">
        <v>110</v>
      </c>
    </row>
    <row r="16" spans="1:6" x14ac:dyDescent="0.3">
      <c r="A16" t="s">
        <v>86</v>
      </c>
      <c r="B16" s="2">
        <v>45763</v>
      </c>
      <c r="C16" t="s">
        <v>87</v>
      </c>
      <c r="D16">
        <v>-303.60000000000002</v>
      </c>
      <c r="E16" t="s">
        <v>85</v>
      </c>
      <c r="F16" t="s">
        <v>107</v>
      </c>
    </row>
    <row r="17" spans="1:6" x14ac:dyDescent="0.3">
      <c r="A17" t="s">
        <v>86</v>
      </c>
      <c r="B17" s="2">
        <v>45763</v>
      </c>
      <c r="C17" t="s">
        <v>87</v>
      </c>
      <c r="D17" s="3">
        <v>-1580.57</v>
      </c>
      <c r="E17" t="s">
        <v>85</v>
      </c>
      <c r="F17" t="s">
        <v>105</v>
      </c>
    </row>
    <row r="18" spans="1:6" x14ac:dyDescent="0.3">
      <c r="A18" t="s">
        <v>83</v>
      </c>
      <c r="B18" s="2">
        <v>45763</v>
      </c>
      <c r="C18" t="s">
        <v>84</v>
      </c>
      <c r="D18">
        <v>-932.46</v>
      </c>
      <c r="E18" t="s">
        <v>85</v>
      </c>
      <c r="F18" t="s">
        <v>109</v>
      </c>
    </row>
    <row r="19" spans="1:6" x14ac:dyDescent="0.3">
      <c r="A19" t="s">
        <v>92</v>
      </c>
      <c r="B19" s="2">
        <v>45764</v>
      </c>
      <c r="C19" t="s">
        <v>93</v>
      </c>
      <c r="D19" s="3">
        <v>-1811.43</v>
      </c>
      <c r="E19" t="s">
        <v>85</v>
      </c>
    </row>
    <row r="20" spans="1:6" x14ac:dyDescent="0.3">
      <c r="A20" t="s">
        <v>92</v>
      </c>
      <c r="B20" s="2">
        <v>45764</v>
      </c>
      <c r="C20" t="s">
        <v>93</v>
      </c>
      <c r="D20">
        <v>-78.040000000000006</v>
      </c>
      <c r="E20" t="s">
        <v>85</v>
      </c>
    </row>
    <row r="21" spans="1:6" x14ac:dyDescent="0.3">
      <c r="A21" t="s">
        <v>88</v>
      </c>
      <c r="B21" s="2">
        <v>45780</v>
      </c>
      <c r="C21" t="s">
        <v>89</v>
      </c>
      <c r="D21">
        <v>-0.03</v>
      </c>
      <c r="E21" t="s">
        <v>85</v>
      </c>
    </row>
    <row r="22" spans="1:6" x14ac:dyDescent="0.3">
      <c r="A22" t="s">
        <v>90</v>
      </c>
      <c r="B22" s="2">
        <v>45780</v>
      </c>
      <c r="C22" t="s">
        <v>91</v>
      </c>
      <c r="D22">
        <v>-0.64</v>
      </c>
      <c r="E22" t="s">
        <v>85</v>
      </c>
    </row>
    <row r="23" spans="1:6" x14ac:dyDescent="0.3">
      <c r="A23" t="s">
        <v>92</v>
      </c>
      <c r="B23" s="2">
        <v>45791</v>
      </c>
      <c r="C23" t="s">
        <v>94</v>
      </c>
      <c r="D23" s="3">
        <v>-1786.04</v>
      </c>
      <c r="E23" t="s">
        <v>85</v>
      </c>
    </row>
    <row r="24" spans="1:6" x14ac:dyDescent="0.3">
      <c r="A24" t="s">
        <v>92</v>
      </c>
      <c r="B24" s="2">
        <v>45792</v>
      </c>
      <c r="C24" t="s">
        <v>95</v>
      </c>
      <c r="D24">
        <v>-205.15</v>
      </c>
      <c r="E24" t="s">
        <v>85</v>
      </c>
    </row>
    <row r="25" spans="1:6" x14ac:dyDescent="0.3">
      <c r="A25" t="s">
        <v>92</v>
      </c>
      <c r="B25" s="2">
        <v>45796</v>
      </c>
      <c r="C25" t="s">
        <v>93</v>
      </c>
      <c r="D25">
        <v>-140.46</v>
      </c>
      <c r="E25" t="s">
        <v>85</v>
      </c>
    </row>
    <row r="26" spans="1:6" x14ac:dyDescent="0.3">
      <c r="A26" t="s">
        <v>86</v>
      </c>
      <c r="B26" s="2">
        <v>45796</v>
      </c>
      <c r="C26" t="s">
        <v>87</v>
      </c>
      <c r="D26">
        <v>-303.60000000000002</v>
      </c>
      <c r="E26" t="s">
        <v>85</v>
      </c>
      <c r="F26" t="s">
        <v>107</v>
      </c>
    </row>
    <row r="27" spans="1:6" x14ac:dyDescent="0.3">
      <c r="A27" t="s">
        <v>86</v>
      </c>
      <c r="B27" s="2">
        <v>45796</v>
      </c>
      <c r="C27" t="s">
        <v>87</v>
      </c>
      <c r="D27" s="3">
        <v>-1784.96</v>
      </c>
      <c r="E27" t="s">
        <v>85</v>
      </c>
      <c r="F27" t="s">
        <v>105</v>
      </c>
    </row>
    <row r="28" spans="1:6" x14ac:dyDescent="0.3">
      <c r="A28" t="s">
        <v>92</v>
      </c>
      <c r="B28" s="2">
        <v>45821</v>
      </c>
      <c r="C28" t="s">
        <v>94</v>
      </c>
      <c r="D28" s="3">
        <v>-1786.04</v>
      </c>
      <c r="E28" t="s">
        <v>85</v>
      </c>
    </row>
    <row r="29" spans="1:6" x14ac:dyDescent="0.3">
      <c r="A29" t="s">
        <v>92</v>
      </c>
      <c r="B29" s="2">
        <v>45823</v>
      </c>
      <c r="C29" t="s">
        <v>95</v>
      </c>
      <c r="D29">
        <v>-205.15</v>
      </c>
      <c r="E29" t="s">
        <v>85</v>
      </c>
    </row>
    <row r="30" spans="1:6" x14ac:dyDescent="0.3">
      <c r="A30" t="s">
        <v>92</v>
      </c>
      <c r="B30" s="2">
        <v>45825</v>
      </c>
      <c r="C30" t="s">
        <v>93</v>
      </c>
      <c r="D30">
        <v>-39.020000000000003</v>
      </c>
      <c r="E30" t="s">
        <v>85</v>
      </c>
    </row>
    <row r="31" spans="1:6" x14ac:dyDescent="0.3">
      <c r="A31" t="s">
        <v>86</v>
      </c>
      <c r="B31" s="2">
        <v>45827</v>
      </c>
      <c r="C31" t="s">
        <v>87</v>
      </c>
      <c r="D31">
        <v>-303.60000000000002</v>
      </c>
      <c r="E31" t="s">
        <v>85</v>
      </c>
      <c r="F31" t="s">
        <v>107</v>
      </c>
    </row>
    <row r="32" spans="1:6" x14ac:dyDescent="0.3">
      <c r="A32" t="s">
        <v>92</v>
      </c>
      <c r="B32" s="2">
        <v>45852</v>
      </c>
      <c r="C32" t="s">
        <v>94</v>
      </c>
      <c r="D32" s="3">
        <v>-1786.04</v>
      </c>
      <c r="E32" t="s">
        <v>85</v>
      </c>
    </row>
    <row r="33" spans="1:6" x14ac:dyDescent="0.3">
      <c r="A33" t="s">
        <v>92</v>
      </c>
      <c r="B33" s="2">
        <v>45853</v>
      </c>
      <c r="C33" t="s">
        <v>95</v>
      </c>
      <c r="D33">
        <v>-205.15</v>
      </c>
      <c r="E33" t="s">
        <v>85</v>
      </c>
    </row>
    <row r="34" spans="1:6" x14ac:dyDescent="0.3">
      <c r="A34" t="s">
        <v>86</v>
      </c>
      <c r="B34" s="2">
        <v>45856</v>
      </c>
      <c r="C34" t="s">
        <v>96</v>
      </c>
      <c r="D34">
        <v>-303.60000000000002</v>
      </c>
      <c r="E34" t="s">
        <v>85</v>
      </c>
      <c r="F34" t="s">
        <v>107</v>
      </c>
    </row>
    <row r="35" spans="1:6" x14ac:dyDescent="0.3">
      <c r="A35" t="s">
        <v>86</v>
      </c>
      <c r="B35" s="2">
        <v>45859</v>
      </c>
      <c r="C35" t="s">
        <v>97</v>
      </c>
      <c r="D35" s="3">
        <v>-3025.41</v>
      </c>
      <c r="E35" t="s">
        <v>85</v>
      </c>
      <c r="F35" t="s">
        <v>105</v>
      </c>
    </row>
    <row r="36" spans="1:6" x14ac:dyDescent="0.3">
      <c r="A36" t="s">
        <v>92</v>
      </c>
      <c r="B36" s="2">
        <v>45883</v>
      </c>
      <c r="C36" t="s">
        <v>94</v>
      </c>
      <c r="D36" s="3">
        <v>-1786.04</v>
      </c>
      <c r="E36" t="s">
        <v>85</v>
      </c>
    </row>
    <row r="37" spans="1:6" x14ac:dyDescent="0.3">
      <c r="A37" t="s">
        <v>83</v>
      </c>
      <c r="B37" s="2">
        <v>45883</v>
      </c>
      <c r="C37" t="s">
        <v>98</v>
      </c>
      <c r="D37" s="3">
        <v>-2000</v>
      </c>
      <c r="E37" t="s">
        <v>85</v>
      </c>
    </row>
    <row r="38" spans="1:6" x14ac:dyDescent="0.3">
      <c r="A38" t="s">
        <v>92</v>
      </c>
      <c r="B38" s="2">
        <v>45884</v>
      </c>
      <c r="C38" t="s">
        <v>95</v>
      </c>
      <c r="D38">
        <v>-205.15</v>
      </c>
      <c r="E38" t="s">
        <v>85</v>
      </c>
    </row>
    <row r="39" spans="1:6" x14ac:dyDescent="0.3">
      <c r="A39" t="s">
        <v>86</v>
      </c>
      <c r="B39" s="2">
        <v>45884</v>
      </c>
      <c r="C39" t="s">
        <v>87</v>
      </c>
      <c r="D39">
        <v>-303.60000000000002</v>
      </c>
      <c r="E39" t="s">
        <v>85</v>
      </c>
      <c r="F39" t="s">
        <v>107</v>
      </c>
    </row>
    <row r="40" spans="1:6" x14ac:dyDescent="0.3">
      <c r="A40" t="s">
        <v>86</v>
      </c>
      <c r="B40" s="2">
        <v>45889</v>
      </c>
      <c r="C40" t="s">
        <v>97</v>
      </c>
      <c r="D40">
        <v>-223.43</v>
      </c>
      <c r="E40" t="s">
        <v>85</v>
      </c>
      <c r="F40" t="s">
        <v>105</v>
      </c>
    </row>
    <row r="41" spans="1:6" x14ac:dyDescent="0.3">
      <c r="A41" t="s">
        <v>92</v>
      </c>
      <c r="B41" s="2">
        <v>45914</v>
      </c>
      <c r="C41" t="s">
        <v>94</v>
      </c>
      <c r="D41" s="3">
        <v>-1786.04</v>
      </c>
      <c r="E41" t="s">
        <v>85</v>
      </c>
    </row>
    <row r="42" spans="1:6" x14ac:dyDescent="0.3">
      <c r="A42" t="s">
        <v>92</v>
      </c>
      <c r="B42" s="2">
        <v>45915</v>
      </c>
      <c r="C42" t="s">
        <v>95</v>
      </c>
      <c r="D42">
        <v>-205.15</v>
      </c>
      <c r="E42" t="s">
        <v>85</v>
      </c>
    </row>
    <row r="43" spans="1:6" x14ac:dyDescent="0.3">
      <c r="A43" t="s">
        <v>86</v>
      </c>
      <c r="B43" s="2">
        <v>45925</v>
      </c>
      <c r="C43" t="s">
        <v>97</v>
      </c>
      <c r="D43" s="3">
        <v>-3953.97</v>
      </c>
      <c r="E43" t="s">
        <v>85</v>
      </c>
      <c r="F43" t="s">
        <v>105</v>
      </c>
    </row>
    <row r="44" spans="1:6" x14ac:dyDescent="0.3">
      <c r="A44" t="s">
        <v>92</v>
      </c>
      <c r="B44" s="2">
        <v>45929</v>
      </c>
      <c r="C44" t="s">
        <v>99</v>
      </c>
      <c r="D44">
        <v>-97.9</v>
      </c>
      <c r="E44" t="s">
        <v>85</v>
      </c>
    </row>
    <row r="45" spans="1:6" x14ac:dyDescent="0.3">
      <c r="A45" t="s">
        <v>86</v>
      </c>
      <c r="B45" s="2">
        <v>45930</v>
      </c>
      <c r="C45" t="s">
        <v>87</v>
      </c>
      <c r="D45">
        <v>-312.61</v>
      </c>
      <c r="E45" t="s">
        <v>85</v>
      </c>
      <c r="F45" t="s">
        <v>105</v>
      </c>
    </row>
    <row r="46" spans="1:6" x14ac:dyDescent="0.3">
      <c r="A46" t="s">
        <v>88</v>
      </c>
      <c r="B46" s="2">
        <v>45932</v>
      </c>
      <c r="C46" t="s">
        <v>89</v>
      </c>
      <c r="D46">
        <v>-0.46</v>
      </c>
      <c r="E46" t="s">
        <v>85</v>
      </c>
    </row>
    <row r="47" spans="1:6" x14ac:dyDescent="0.3">
      <c r="A47" t="s">
        <v>90</v>
      </c>
      <c r="B47" s="2">
        <v>45932</v>
      </c>
      <c r="C47" t="s">
        <v>91</v>
      </c>
      <c r="D47">
        <v>-0.51</v>
      </c>
      <c r="E47" t="s">
        <v>85</v>
      </c>
    </row>
    <row r="48" spans="1:6" x14ac:dyDescent="0.3">
      <c r="A48" t="s">
        <v>92</v>
      </c>
      <c r="B48" s="2">
        <v>45933</v>
      </c>
      <c r="C48" t="s">
        <v>100</v>
      </c>
      <c r="D48">
        <v>-130.80000000000001</v>
      </c>
      <c r="E48" t="s">
        <v>85</v>
      </c>
      <c r="F48" t="s">
        <v>108</v>
      </c>
    </row>
    <row r="49" spans="1:6" x14ac:dyDescent="0.3">
      <c r="A49" t="s">
        <v>92</v>
      </c>
      <c r="B49" s="2">
        <v>45944</v>
      </c>
      <c r="C49" t="s">
        <v>94</v>
      </c>
      <c r="D49" s="3">
        <v>-1874.1</v>
      </c>
      <c r="E49" t="s">
        <v>85</v>
      </c>
    </row>
    <row r="50" spans="1:6" x14ac:dyDescent="0.3">
      <c r="A50" t="s">
        <v>92</v>
      </c>
      <c r="B50" s="2">
        <v>45945</v>
      </c>
      <c r="C50" t="s">
        <v>95</v>
      </c>
      <c r="D50">
        <v>-205.15</v>
      </c>
      <c r="E50" t="s">
        <v>85</v>
      </c>
    </row>
    <row r="51" spans="1:6" x14ac:dyDescent="0.3">
      <c r="A51" t="s">
        <v>86</v>
      </c>
      <c r="B51" s="2">
        <v>45950</v>
      </c>
      <c r="C51" t="s">
        <v>87</v>
      </c>
      <c r="D51">
        <v>-303.60000000000002</v>
      </c>
      <c r="E51" t="s">
        <v>85</v>
      </c>
      <c r="F51" t="s">
        <v>107</v>
      </c>
    </row>
    <row r="52" spans="1:6" x14ac:dyDescent="0.3">
      <c r="A52" t="s">
        <v>86</v>
      </c>
      <c r="B52" s="2">
        <v>45950</v>
      </c>
      <c r="C52" t="s">
        <v>87</v>
      </c>
      <c r="D52">
        <v>-484.28</v>
      </c>
      <c r="E52" t="s">
        <v>85</v>
      </c>
      <c r="F52" t="s">
        <v>105</v>
      </c>
    </row>
    <row r="53" spans="1:6" x14ac:dyDescent="0.3">
      <c r="A53" t="s">
        <v>88</v>
      </c>
      <c r="B53" s="2">
        <v>45965</v>
      </c>
      <c r="C53" t="s">
        <v>89</v>
      </c>
      <c r="D53">
        <v>-0.48</v>
      </c>
      <c r="E53" t="s">
        <v>85</v>
      </c>
    </row>
    <row r="54" spans="1:6" x14ac:dyDescent="0.3">
      <c r="A54" t="s">
        <v>90</v>
      </c>
      <c r="B54" s="2">
        <v>45965</v>
      </c>
      <c r="C54" t="s">
        <v>91</v>
      </c>
      <c r="D54">
        <v>-4.0599999999999996</v>
      </c>
      <c r="E54" t="s">
        <v>85</v>
      </c>
    </row>
    <row r="55" spans="1:6" x14ac:dyDescent="0.3">
      <c r="A55" t="s">
        <v>92</v>
      </c>
      <c r="B55" s="2">
        <v>45969</v>
      </c>
      <c r="C55" t="s">
        <v>100</v>
      </c>
      <c r="D55">
        <v>-26.9</v>
      </c>
      <c r="E55" t="s">
        <v>85</v>
      </c>
      <c r="F55" t="s">
        <v>108</v>
      </c>
    </row>
    <row r="56" spans="1:6" x14ac:dyDescent="0.3">
      <c r="A56" t="s">
        <v>92</v>
      </c>
      <c r="B56" s="2">
        <v>45975</v>
      </c>
      <c r="C56" t="s">
        <v>94</v>
      </c>
      <c r="D56" s="3">
        <v>-1981.93</v>
      </c>
      <c r="E56" t="s">
        <v>85</v>
      </c>
    </row>
    <row r="57" spans="1:6" x14ac:dyDescent="0.3">
      <c r="A57" t="s">
        <v>92</v>
      </c>
      <c r="B57" s="2">
        <v>45976</v>
      </c>
      <c r="C57" t="s">
        <v>95</v>
      </c>
      <c r="D57">
        <v>-205.15</v>
      </c>
      <c r="E57" t="s">
        <v>85</v>
      </c>
    </row>
    <row r="58" spans="1:6" x14ac:dyDescent="0.3">
      <c r="A58" t="s">
        <v>86</v>
      </c>
      <c r="B58" s="2">
        <v>45978</v>
      </c>
      <c r="C58" t="s">
        <v>87</v>
      </c>
      <c r="D58" s="3">
        <v>-3394.53</v>
      </c>
      <c r="E58" t="s">
        <v>85</v>
      </c>
      <c r="F58" t="s">
        <v>105</v>
      </c>
    </row>
    <row r="59" spans="1:6" x14ac:dyDescent="0.3">
      <c r="A59" t="s">
        <v>86</v>
      </c>
      <c r="B59" s="2">
        <v>45980</v>
      </c>
      <c r="C59" t="s">
        <v>87</v>
      </c>
      <c r="D59">
        <v>-303.60000000000002</v>
      </c>
      <c r="E59" t="s">
        <v>85</v>
      </c>
      <c r="F59" t="s">
        <v>105</v>
      </c>
    </row>
    <row r="60" spans="1:6" x14ac:dyDescent="0.3">
      <c r="A60" t="s">
        <v>92</v>
      </c>
      <c r="B60" s="2">
        <v>45993</v>
      </c>
      <c r="C60" t="s">
        <v>100</v>
      </c>
      <c r="D60">
        <v>-53.9</v>
      </c>
      <c r="E60" t="s">
        <v>85</v>
      </c>
      <c r="F60" t="s">
        <v>108</v>
      </c>
    </row>
    <row r="61" spans="1:6" x14ac:dyDescent="0.3">
      <c r="A61" t="s">
        <v>86</v>
      </c>
      <c r="B61" s="2">
        <v>46003</v>
      </c>
      <c r="C61" t="s">
        <v>87</v>
      </c>
      <c r="D61">
        <v>-166.54</v>
      </c>
      <c r="E61" t="s">
        <v>85</v>
      </c>
      <c r="F61" t="s">
        <v>105</v>
      </c>
    </row>
    <row r="62" spans="1:6" x14ac:dyDescent="0.3">
      <c r="A62" t="s">
        <v>86</v>
      </c>
      <c r="B62" s="2">
        <v>46003</v>
      </c>
      <c r="C62" t="s">
        <v>87</v>
      </c>
      <c r="D62">
        <v>-303.60000000000002</v>
      </c>
      <c r="E62" t="s">
        <v>85</v>
      </c>
      <c r="F62" t="s">
        <v>107</v>
      </c>
    </row>
    <row r="63" spans="1:6" x14ac:dyDescent="0.3">
      <c r="A63" t="s">
        <v>92</v>
      </c>
      <c r="B63" s="2">
        <v>46005</v>
      </c>
      <c r="C63" t="s">
        <v>94</v>
      </c>
      <c r="D63" s="3">
        <v>-1849.64</v>
      </c>
      <c r="E63" t="s">
        <v>85</v>
      </c>
    </row>
    <row r="64" spans="1:6" x14ac:dyDescent="0.3">
      <c r="A64" t="s">
        <v>92</v>
      </c>
      <c r="B64" s="2">
        <v>46006</v>
      </c>
      <c r="C64" t="s">
        <v>95</v>
      </c>
      <c r="D64">
        <v>-205.15</v>
      </c>
      <c r="E64" t="s">
        <v>85</v>
      </c>
    </row>
    <row r="65" spans="1:5" x14ac:dyDescent="0.3">
      <c r="A65" t="s">
        <v>101</v>
      </c>
      <c r="B65" s="2">
        <v>46021</v>
      </c>
      <c r="C65" t="s">
        <v>102</v>
      </c>
      <c r="D65" s="3">
        <v>232358.75</v>
      </c>
      <c r="E65" t="s">
        <v>85</v>
      </c>
    </row>
    <row r="66" spans="1:5" x14ac:dyDescent="0.3">
      <c r="A66" t="s">
        <v>103</v>
      </c>
      <c r="B66" s="2">
        <v>46021</v>
      </c>
      <c r="C66" t="s">
        <v>104</v>
      </c>
      <c r="D66" s="3">
        <v>22080</v>
      </c>
      <c r="E66" t="s">
        <v>85</v>
      </c>
    </row>
  </sheetData>
  <autoFilter ref="A1:F66" xr:uid="{165FE321-50A3-412F-9218-9360D8F0419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Faturamento</vt:lpstr>
      <vt:lpstr>Despesas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da Silva De Azevedo</dc:creator>
  <cp:lastModifiedBy>Gustavo da Silva De Azevedo</cp:lastModifiedBy>
  <dcterms:created xsi:type="dcterms:W3CDTF">2026-03-31T20:46:33Z</dcterms:created>
  <dcterms:modified xsi:type="dcterms:W3CDTF">2026-03-31T21:00:28Z</dcterms:modified>
</cp:coreProperties>
</file>